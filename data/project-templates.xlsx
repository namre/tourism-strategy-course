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Т-1 Интервью" sheetId="1" state="visible" r:id="rId3"/>
    <sheet name="КТ-1 Кодовая книга" sheetId="2" state="visible" r:id="rId4"/>
    <sheet name="КТ-1 Тайный покупатель" sheetId="3" state="visible" r:id="rId5"/>
    <sheet name="КТ-3 Цены по датам" sheetId="4" state="visible" r:id="rId6"/>
    <sheet name="КТ-4 Модель" sheetId="5" state="visible" r:id="rId7"/>
    <sheet name="Данные кейса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<sst xmlns="http://schemas.openxmlformats.org/spreadsheetml/2006/main" count="115" uniqueCount="102">
  <si>
    <t xml:space="preserve">Сценарий интервью (15–25 минут, без имён) — подробно в памятке «Интервью о последнем выборе»: 1) Расскажите о последней поездке такого типа: куда, когда, с кем? 2) С чего начали выбор? Какие варианты рассматривали? 3) Что в итоге решило выбор? От чего отказались и почему? 4) Что было неудобно до поездки, во время и после? 5) Если бы выбирали снова, что сделали бы иначе? Не спрашивайте «понравится ли вам…» — просите рассказать о том, что уже было.</t>
  </si>
  <si>
    <t xml:space="preserve">№</t>
  </si>
  <si>
    <t xml:space="preserve">Кто (роль, без имени)</t>
  </si>
  <si>
    <t xml:space="preserve">Дата</t>
  </si>
  <si>
    <t xml:space="preserve">Ситуация выбора</t>
  </si>
  <si>
    <t xml:space="preserve">Какие варианты сравнивал</t>
  </si>
  <si>
    <t xml:space="preserve">Что решило выбор</t>
  </si>
  <si>
    <t xml:space="preserve">Неудобства и барьеры</t>
  </si>
  <si>
    <t xml:space="preserve">Ключевая цитата</t>
  </si>
  <si>
    <t xml:space="preserve">Тема по кодовой книге</t>
  </si>
  <si>
    <t xml:space="preserve">Кодовая книга: 6–10 тем, у каждой правило отнесения и пример. Частоты считайте по каждому объекту (не меньше 60 отзывов в сумме, по 15+ на объект). Ниже — проверка разметки: 20 случайных отзывов размечаете вы и второй человек (или ИИ); доля совпадений считается автоматически.</t>
  </si>
  <si>
    <t xml:space="preserve">Тема</t>
  </si>
  <si>
    <t xml:space="preserve">Правило отнесения</t>
  </si>
  <si>
    <t xml:space="preserve">Пример фразы</t>
  </si>
  <si>
    <t xml:space="preserve">Ваш объект, шт.</t>
  </si>
  <si>
    <t xml:space="preserve">Конкурент 1, шт.</t>
  </si>
  <si>
    <t xml:space="preserve">Конкурент 2, шт.</t>
  </si>
  <si>
    <t xml:space="preserve">Шум</t>
  </si>
  <si>
    <t xml:space="preserve">Любое упоминание звуков, мешавших отдыху или сну</t>
  </si>
  <si>
    <t xml:space="preserve">«Окна на дорогу, ночью грузовики»</t>
  </si>
  <si>
    <t xml:space="preserve">Завтрак</t>
  </si>
  <si>
    <t xml:space="preserve">Время, состав, качество завтрака</t>
  </si>
  <si>
    <t xml:space="preserve">«Завтрак с восьми — на встречу не успеваю»</t>
  </si>
  <si>
    <t xml:space="preserve">Заселение</t>
  </si>
  <si>
    <t xml:space="preserve">Ожидание, ранний заезд, поздний выезд, документы</t>
  </si>
  <si>
    <t xml:space="preserve">«Ждали ключи 40 минут»</t>
  </si>
  <si>
    <t xml:space="preserve">Чистота</t>
  </si>
  <si>
    <t xml:space="preserve">Уборка, бельё, санузел</t>
  </si>
  <si>
    <t xml:space="preserve">Соответствие описанию</t>
  </si>
  <si>
    <t xml:space="preserve">Фото, услуги, расположение не совпали с обещанным</t>
  </si>
  <si>
    <t xml:space="preserve">Персонал</t>
  </si>
  <si>
    <t xml:space="preserve">Вежливость, скорость решения проблем</t>
  </si>
  <si>
    <t xml:space="preserve">Природа и впечатления</t>
  </si>
  <si>
    <t xml:space="preserve">Виды, маршруты, гиды, сезонные явления</t>
  </si>
  <si>
    <t xml:space="preserve">«Лотосы в августе — ради этого и ехали»</t>
  </si>
  <si>
    <t xml:space="preserve">Проверка разметки</t>
  </si>
  <si>
    <t xml:space="preserve">№ отзыва</t>
  </si>
  <si>
    <t xml:space="preserve">Ваша тема</t>
  </si>
  <si>
    <t xml:space="preserve">Тема второго разметчика или ИИ</t>
  </si>
  <si>
    <t xml:space="preserve">Совпало (1/0)</t>
  </si>
  <si>
    <t xml:space="preserve">Доля совпадений:</t>
  </si>
  <si>
    <t xml:space="preserve">Сценарий запроса одинаков для всех объектов (подробно — в памятке «Тайный покупатель»): даты заезда, состав гостей, вопрос «какая итоговая сумма к оплате и какие условия отмены?». По возможности разные каналы: телефон, мессенджер, форма на сайте. Не бронируйте и не отменяйте реальные заказы.</t>
  </si>
  <si>
    <t xml:space="preserve">Объект</t>
  </si>
  <si>
    <t xml:space="preserve">Канал</t>
  </si>
  <si>
    <t xml:space="preserve">Дата и время запроса</t>
  </si>
  <si>
    <t xml:space="preserve">Время ответа, мин</t>
  </si>
  <si>
    <t xml:space="preserve">Итоговая цена, ₽</t>
  </si>
  <si>
    <t xml:space="preserve">Обязательные платежи сверх тарифа</t>
  </si>
  <si>
    <t xml:space="preserve">Условия отмены</t>
  </si>
  <si>
    <t xml:space="preserve">Предложили альтернативу?</t>
  </si>
  <si>
    <t xml:space="preserve">Полнота ответа (0–2)</t>
  </si>
  <si>
    <t xml:space="preserve">Заметки</t>
  </si>
  <si>
    <t xml:space="preserve">Минимум: 3 объекта × 2 даты заезда (пик и межсезонье) × 2 канала (сайт объекта и площадка бронирования) = 12 замеров в один день съёма. Горизонты бронирования и больше объектов — по желанию. Итоговая цена считается автоматически.</t>
  </si>
  <si>
    <t xml:space="preserve">Дата съёма</t>
  </si>
  <si>
    <t xml:space="preserve">Дата заезда</t>
  </si>
  <si>
    <t xml:space="preserve">Тип даты</t>
  </si>
  <si>
    <t xml:space="preserve">Дней до заезда</t>
  </si>
  <si>
    <t xml:space="preserve">Тариф, ₽</t>
  </si>
  <si>
    <t xml:space="preserve">Обязательные платежи, ₽</t>
  </si>
  <si>
    <t xml:space="preserve">Модель альтернатив на примере «Маяка». Голубые ячейки — входные данные: замените их числами своего объекта в столбце «Ваш вариант». Если объект не гостиница: номеро-ночь → место в группе или вход на тропу в день; агрегатор → посредник с комиссией; вытеснение → заявки сверх допустимой нагрузки или вытесненные более выгодные группы.</t>
  </si>
  <si>
    <t xml:space="preserve">Показатель</t>
  </si>
  <si>
    <t xml:space="preserve">Агрегатор</t>
  </si>
  <si>
    <t xml:space="preserve">Прямой</t>
  </si>
  <si>
    <t xml:space="preserve">Корпоративный</t>
  </si>
  <si>
    <t xml:space="preserve">Ваш вариант</t>
  </si>
  <si>
    <t xml:space="preserve">Пояснение</t>
  </si>
  <si>
    <t xml:space="preserve">Забронировано, ед.</t>
  </si>
  <si>
    <t xml:space="preserve">Номеро-ночи до отмен</t>
  </si>
  <si>
    <t xml:space="preserve">Доля отмен</t>
  </si>
  <si>
    <t xml:space="preserve">Доля забронированных единиц</t>
  </si>
  <si>
    <t xml:space="preserve">Состоялось, ед.</t>
  </si>
  <si>
    <t xml:space="preserve">Формула</t>
  </si>
  <si>
    <t xml:space="preserve">Цена состоявшейся единицы, ₽</t>
  </si>
  <si>
    <t xml:space="preserve">Комиссия или обработка, доля выручки</t>
  </si>
  <si>
    <t xml:space="preserve">Доп. обработка на состоявшуюся единицу, ₽</t>
  </si>
  <si>
    <t xml:space="preserve">Обслуживание состоявшейся единицы, ₽</t>
  </si>
  <si>
    <t xml:space="preserve">Переменные затраты</t>
  </si>
  <si>
    <t xml:space="preserve">Привлечение на забронированную единицу, ₽</t>
  </si>
  <si>
    <t xml:space="preserve">Не возвращается при отмене</t>
  </si>
  <si>
    <t xml:space="preserve">Фиксированный расход пакета, ₽</t>
  </si>
  <si>
    <t xml:space="preserve">Результат до вытеснения, ₽</t>
  </si>
  <si>
    <t xml:space="preserve">Единиц пакета в пик</t>
  </si>
  <si>
    <t xml:space="preserve">Распределение состоявшихся по периодам</t>
  </si>
  <si>
    <t xml:space="preserve">Мощность пика</t>
  </si>
  <si>
    <t xml:space="preserve">10 дней × 40 номеров</t>
  </si>
  <si>
    <t xml:space="preserve">Базовый спрос пика</t>
  </si>
  <si>
    <t xml:space="preserve">Подтверждённый + ожидаемый</t>
  </si>
  <si>
    <t xml:space="preserve">Вытеснено в пик, ед.</t>
  </si>
  <si>
    <t xml:space="preserve">Маржинальный доход вытесненной единицы, ₽</t>
  </si>
  <si>
    <t xml:space="preserve">7 000 × 0,98 − 1 800</t>
  </si>
  <si>
    <t xml:space="preserve">Результат после вытеснения, ₽</t>
  </si>
  <si>
    <t xml:space="preserve">Порог: при каком маржинальном доходе вытесненной единицы меняется выбор? Меняйте ячейки строки 18 и смотрите строку 19.</t>
  </si>
  <si>
    <t xml:space="preserve">Данные кейса «Маяк»: три дополнительных пакета продаж на расчётный месяц (40 номеров × 30 дней = 1 200 номеро-ночей). Денежные суммы в рублях, доли — от 0 до 1.</t>
  </si>
  <si>
    <t xml:space="preserve">Забронировано номеро-ночей</t>
  </si>
  <si>
    <t xml:space="preserve">Ожидаемо состоится</t>
  </si>
  <si>
    <t xml:space="preserve">Цена ночи, ₽</t>
  </si>
  <si>
    <t xml:space="preserve">Комиссия/обработка, доля выручки</t>
  </si>
  <si>
    <t xml:space="preserve">Обработка на ночь, ₽</t>
  </si>
  <si>
    <t xml:space="preserve">Обслуживание ночи, ₽</t>
  </si>
  <si>
    <t xml:space="preserve">Привлечение на бронь, ₽</t>
  </si>
  <si>
    <t xml:space="preserve">Ночей в пик</t>
  </si>
  <si>
    <t xml:space="preserve">Ночей вне пика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</si>
</sst>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6ED8C"/>
        <bgColor rgb="FFFFFF99"/>
      </patternFill>
    </fill>
    <fill>
      <patternFill patternType="solid">
        <fgColor rgb="FFDCEBFA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D8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7" min="5" style="0" width="28"/>
    <col collapsed="false" customWidth="true" hidden="false" outlineLevel="0" max="8" min="8" style="0" width="34"/>
    <col collapsed="false" customWidth="true" hidden="false" outlineLevel="0" max="9" min="9" style="0" width="20"/>
  </cols>
  <sheetData>
    <row r="1" customFormat="false" ht="9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28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n">
        <v>1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3" t="n">
        <v>2</v>
      </c>
      <c r="B5" s="3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3" t="n">
        <v>3</v>
      </c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3" t="n">
        <v>4</v>
      </c>
      <c r="B7" s="3"/>
      <c r="C7" s="3"/>
      <c r="D7" s="3"/>
      <c r="E7" s="3"/>
      <c r="F7" s="3"/>
      <c r="G7" s="3"/>
      <c r="H7" s="3"/>
      <c r="I7" s="3"/>
    </row>
    <row r="8" customFormat="false" ht="15" hidden="false" customHeight="false" outlineLevel="0" collapsed="false">
      <c r="A8" s="3" t="n">
        <v>5</v>
      </c>
      <c r="B8" s="3"/>
      <c r="C8" s="3"/>
      <c r="D8" s="3"/>
      <c r="E8" s="3"/>
      <c r="F8" s="3"/>
      <c r="G8" s="3"/>
      <c r="H8" s="3"/>
      <c r="I8" s="3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0"/>
    <col collapsed="false" customWidth="true" hidden="false" outlineLevel="0" max="6" min="4" style="0" width="16"/>
  </cols>
  <sheetData>
    <row r="1" customFormat="false" ht="94.5" hidden="false" customHeight="true" outlineLevel="0" collapsed="false">
      <c r="A1" s="1" t="s">
        <v>10</v>
      </c>
      <c r="B1" s="1"/>
      <c r="C1" s="1"/>
      <c r="D1" s="1"/>
      <c r="E1" s="1"/>
      <c r="F1" s="1"/>
    </row>
    <row r="3" customFormat="false" ht="28.3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customFormat="false" ht="28.35" hidden="false" customHeight="false" outlineLevel="0" collapsed="false">
      <c r="A4" s="3" t="s">
        <v>17</v>
      </c>
      <c r="B4" s="3" t="s">
        <v>18</v>
      </c>
      <c r="C4" s="3" t="s">
        <v>19</v>
      </c>
      <c r="D4" s="3"/>
      <c r="E4" s="3"/>
      <c r="F4" s="3"/>
    </row>
    <row r="5" customFormat="false" ht="28.35" hidden="false" customHeight="false" outlineLevel="0" collapsed="false">
      <c r="A5" s="3" t="s">
        <v>20</v>
      </c>
      <c r="B5" s="3" t="s">
        <v>21</v>
      </c>
      <c r="C5" s="3" t="s">
        <v>22</v>
      </c>
      <c r="D5" s="3"/>
      <c r="E5" s="3"/>
      <c r="F5" s="3"/>
    </row>
    <row r="6" customFormat="false" ht="28.35" hidden="false" customHeight="false" outlineLevel="0" collapsed="false">
      <c r="A6" s="3" t="s">
        <v>23</v>
      </c>
      <c r="B6" s="3" t="s">
        <v>24</v>
      </c>
      <c r="C6" s="3" t="s">
        <v>25</v>
      </c>
      <c r="D6" s="3"/>
      <c r="E6" s="3"/>
      <c r="F6" s="3"/>
    </row>
    <row r="7" customFormat="false" ht="15" hidden="false" customHeight="false" outlineLevel="0" collapsed="false">
      <c r="A7" s="3" t="s">
        <v>26</v>
      </c>
      <c r="B7" s="3" t="s">
        <v>27</v>
      </c>
      <c r="C7" s="3"/>
      <c r="D7" s="3"/>
      <c r="E7" s="3"/>
      <c r="F7" s="3"/>
    </row>
    <row r="8" customFormat="false" ht="28.35" hidden="false" customHeight="false" outlineLevel="0" collapsed="false">
      <c r="A8" s="3" t="s">
        <v>28</v>
      </c>
      <c r="B8" s="3" t="s">
        <v>29</v>
      </c>
      <c r="C8" s="3"/>
      <c r="D8" s="3"/>
      <c r="E8" s="3"/>
      <c r="F8" s="3"/>
    </row>
    <row r="9" customFormat="false" ht="15" hidden="false" customHeight="false" outlineLevel="0" collapsed="false">
      <c r="A9" s="3" t="s">
        <v>30</v>
      </c>
      <c r="B9" s="3" t="s">
        <v>31</v>
      </c>
      <c r="C9" s="3"/>
      <c r="D9" s="3"/>
      <c r="E9" s="3"/>
      <c r="F9" s="3"/>
    </row>
    <row r="10" customFormat="false" ht="15" hidden="false" customHeight="false" outlineLevel="0" collapsed="false">
      <c r="A10" s="3" t="s">
        <v>32</v>
      </c>
      <c r="B10" s="3" t="s">
        <v>33</v>
      </c>
      <c r="C10" s="3" t="s">
        <v>34</v>
      </c>
      <c r="D10" s="3"/>
      <c r="E10" s="3"/>
      <c r="F10" s="3"/>
    </row>
    <row r="13" customFormat="false" ht="15" hidden="false" customHeight="false" outlineLevel="0" collapsed="false">
      <c r="A13" s="4" t="s">
        <v>35</v>
      </c>
    </row>
    <row r="14" customFormat="false" ht="15" hidden="false" customHeight="false" outlineLevel="0" collapsed="false">
      <c r="A14" s="5" t="s">
        <v>36</v>
      </c>
      <c r="B14" s="5" t="s">
        <v>37</v>
      </c>
      <c r="C14" s="5" t="s">
        <v>38</v>
      </c>
      <c r="D14" s="5" t="s">
        <v>39</v>
      </c>
    </row>
    <row r="15" customFormat="false" ht="15" hidden="false" customHeight="false" outlineLevel="0" collapsed="false">
      <c r="A15" s="0" t="n">
        <v>1</v>
      </c>
      <c r="D15" s="0" t="str">
        <f aca="false">IF(AND(B15&lt;&gt;"",C15&lt;&gt;""),IF(B15=C15,1,0),"")</f>
        <v/>
      </c>
    </row>
    <row r="16" customFormat="false" ht="15" hidden="false" customHeight="false" outlineLevel="0" collapsed="false">
      <c r="A16" s="0" t="n">
        <v>2</v>
      </c>
      <c r="D16" s="0" t="str">
        <f aca="false">IF(AND(B16&lt;&gt;"",C16&lt;&gt;""),IF(B16=C16,1,0),"")</f>
        <v/>
      </c>
    </row>
    <row r="17" customFormat="false" ht="15" hidden="false" customHeight="false" outlineLevel="0" collapsed="false">
      <c r="A17" s="0" t="n">
        <v>3</v>
      </c>
      <c r="D17" s="0" t="str">
        <f aca="false">IF(AND(B17&lt;&gt;"",C17&lt;&gt;""),IF(B17=C17,1,0),"")</f>
        <v/>
      </c>
    </row>
    <row r="18" customFormat="false" ht="15" hidden="false" customHeight="false" outlineLevel="0" collapsed="false">
      <c r="A18" s="0" t="n">
        <v>4</v>
      </c>
      <c r="D18" s="0" t="str">
        <f aca="false">IF(AND(B18&lt;&gt;"",C18&lt;&gt;""),IF(B18=C18,1,0),"")</f>
        <v/>
      </c>
    </row>
    <row r="19" customFormat="false" ht="15" hidden="false" customHeight="false" outlineLevel="0" collapsed="false">
      <c r="A19" s="0" t="n">
        <v>5</v>
      </c>
      <c r="D19" s="0" t="str">
        <f aca="false">IF(AND(B19&lt;&gt;"",C19&lt;&gt;""),IF(B19=C19,1,0),"")</f>
        <v/>
      </c>
    </row>
    <row r="20" customFormat="false" ht="15" hidden="false" customHeight="false" outlineLevel="0" collapsed="false">
      <c r="A20" s="0" t="n">
        <v>6</v>
      </c>
      <c r="D20" s="0" t="str">
        <f aca="false">IF(AND(B20&lt;&gt;"",C20&lt;&gt;""),IF(B20=C20,1,0),"")</f>
        <v/>
      </c>
    </row>
    <row r="21" customFormat="false" ht="15" hidden="false" customHeight="false" outlineLevel="0" collapsed="false">
      <c r="A21" s="0" t="n">
        <v>7</v>
      </c>
      <c r="D21" s="0" t="str">
        <f aca="false">IF(AND(B21&lt;&gt;"",C21&lt;&gt;""),IF(B21=C21,1,0),"")</f>
        <v/>
      </c>
    </row>
    <row r="22" customFormat="false" ht="15" hidden="false" customHeight="false" outlineLevel="0" collapsed="false">
      <c r="A22" s="0" t="n">
        <v>8</v>
      </c>
      <c r="D22" s="0" t="str">
        <f aca="false">IF(AND(B22&lt;&gt;"",C22&lt;&gt;""),IF(B22=C22,1,0),"")</f>
        <v/>
      </c>
    </row>
    <row r="23" customFormat="false" ht="15" hidden="false" customHeight="false" outlineLevel="0" collapsed="false">
      <c r="A23" s="0" t="n">
        <v>9</v>
      </c>
      <c r="D23" s="0" t="str">
        <f aca="false">IF(AND(B23&lt;&gt;"",C23&lt;&gt;""),IF(B23=C23,1,0),"")</f>
        <v/>
      </c>
    </row>
    <row r="24" customFormat="false" ht="15" hidden="false" customHeight="false" outlineLevel="0" collapsed="false">
      <c r="A24" s="0" t="n">
        <v>10</v>
      </c>
      <c r="D24" s="0" t="str">
        <f aca="false">IF(AND(B24&lt;&gt;"",C24&lt;&gt;""),IF(B24=C24,1,0),"")</f>
        <v/>
      </c>
    </row>
    <row r="25" customFormat="false" ht="15" hidden="false" customHeight="false" outlineLevel="0" collapsed="false">
      <c r="A25" s="0" t="n">
        <v>11</v>
      </c>
      <c r="D25" s="0" t="str">
        <f aca="false">IF(AND(B25&lt;&gt;"",C25&lt;&gt;""),IF(B25=C25,1,0),"")</f>
        <v/>
      </c>
    </row>
    <row r="26" customFormat="false" ht="15" hidden="false" customHeight="false" outlineLevel="0" collapsed="false">
      <c r="A26" s="0" t="n">
        <v>12</v>
      </c>
      <c r="D26" s="0" t="str">
        <f aca="false">IF(AND(B26&lt;&gt;"",C26&lt;&gt;""),IF(B26=C26,1,0),"")</f>
        <v/>
      </c>
    </row>
    <row r="27" customFormat="false" ht="15" hidden="false" customHeight="false" outlineLevel="0" collapsed="false">
      <c r="A27" s="0" t="n">
        <v>13</v>
      </c>
      <c r="D27" s="0" t="str">
        <f aca="false">IF(AND(B27&lt;&gt;"",C27&lt;&gt;""),IF(B27=C27,1,0),"")</f>
        <v/>
      </c>
    </row>
    <row r="28" customFormat="false" ht="15" hidden="false" customHeight="false" outlineLevel="0" collapsed="false">
      <c r="A28" s="0" t="n">
        <v>14</v>
      </c>
      <c r="D28" s="0" t="str">
        <f aca="false">IF(AND(B28&lt;&gt;"",C28&lt;&gt;""),IF(B28=C28,1,0),"")</f>
        <v/>
      </c>
    </row>
    <row r="29" customFormat="false" ht="15" hidden="false" customHeight="false" outlineLevel="0" collapsed="false">
      <c r="A29" s="0" t="n">
        <v>15</v>
      </c>
      <c r="D29" s="0" t="str">
        <f aca="false">IF(AND(B29&lt;&gt;"",C29&lt;&gt;""),IF(B29=C29,1,0),"")</f>
        <v/>
      </c>
    </row>
    <row r="30" customFormat="false" ht="15" hidden="false" customHeight="false" outlineLevel="0" collapsed="false">
      <c r="A30" s="0" t="n">
        <v>16</v>
      </c>
      <c r="D30" s="0" t="str">
        <f aca="false">IF(AND(B30&lt;&gt;"",C30&lt;&gt;""),IF(B30=C30,1,0),"")</f>
        <v/>
      </c>
    </row>
    <row r="31" customFormat="false" ht="15" hidden="false" customHeight="false" outlineLevel="0" collapsed="false">
      <c r="A31" s="0" t="n">
        <v>17</v>
      </c>
      <c r="D31" s="0" t="str">
        <f aca="false">IF(AND(B31&lt;&gt;"",C31&lt;&gt;""),IF(B31=C31,1,0),"")</f>
        <v/>
      </c>
    </row>
    <row r="32" customFormat="false" ht="15" hidden="false" customHeight="false" outlineLevel="0" collapsed="false">
      <c r="A32" s="0" t="n">
        <v>18</v>
      </c>
      <c r="D32" s="0" t="str">
        <f aca="false">IF(AND(B32&lt;&gt;"",C32&lt;&gt;""),IF(B32=C32,1,0),"")</f>
        <v/>
      </c>
    </row>
    <row r="33" customFormat="false" ht="15" hidden="false" customHeight="false" outlineLevel="0" collapsed="false">
      <c r="A33" s="0" t="n">
        <v>19</v>
      </c>
      <c r="D33" s="0" t="str">
        <f aca="false">IF(AND(B33&lt;&gt;"",C33&lt;&gt;""),IF(B33=C33,1,0),"")</f>
        <v/>
      </c>
    </row>
    <row r="34" customFormat="false" ht="15" hidden="false" customHeight="false" outlineLevel="0" collapsed="false">
      <c r="A34" s="0" t="n">
        <v>20</v>
      </c>
      <c r="D34" s="0" t="str">
        <f aca="false">IF(AND(B34&lt;&gt;"",C34&lt;&gt;""),IF(B34=C34,1,0),"")</f>
        <v/>
      </c>
    </row>
    <row r="36" customFormat="false" ht="15" hidden="false" customHeight="false" outlineLevel="0" collapsed="false">
      <c r="C36" s="4" t="s">
        <v>40</v>
      </c>
      <c r="D36" s="0" t="str">
        <f aca="false">IFERROR(AVERAGE(D15:D34),"")</f>
        <v/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94.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55.2" hidden="false" customHeight="false" outlineLevel="0" collapsed="false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94.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41.75" hidden="false" customHeight="false" outlineLevel="0" collapsed="false">
      <c r="A3" s="2" t="s">
        <v>53</v>
      </c>
      <c r="B3" s="2" t="s">
        <v>42</v>
      </c>
      <c r="C3" s="2" t="s">
        <v>54</v>
      </c>
      <c r="D3" s="2" t="s">
        <v>55</v>
      </c>
      <c r="E3" s="2" t="s">
        <v>56</v>
      </c>
      <c r="F3" s="2" t="s">
        <v>43</v>
      </c>
      <c r="G3" s="2" t="s">
        <v>57</v>
      </c>
      <c r="H3" s="2" t="s">
        <v>58</v>
      </c>
      <c r="I3" s="2" t="s">
        <v>46</v>
      </c>
      <c r="J3" s="2" t="s">
        <v>48</v>
      </c>
    </row>
    <row r="4" customFormat="false" ht="15" hidden="false" customHeight="false" outlineLevel="0" collapsed="false">
      <c r="I4" s="0" t="str">
        <f aca="false">IF(G4="","",G4+N(H4))</f>
        <v/>
      </c>
    </row>
    <row r="5" customFormat="false" ht="15" hidden="false" customHeight="false" outlineLevel="0" collapsed="false">
      <c r="I5" s="0" t="str">
        <f aca="false">IF(G5="","",G5+N(H5))</f>
        <v/>
      </c>
    </row>
    <row r="6" customFormat="false" ht="15" hidden="false" customHeight="false" outlineLevel="0" collapsed="false">
      <c r="I6" s="0" t="str">
        <f aca="false">IF(G6="","",G6+N(H6))</f>
        <v/>
      </c>
    </row>
    <row r="7" customFormat="false" ht="15" hidden="false" customHeight="false" outlineLevel="0" collapsed="false">
      <c r="I7" s="0" t="str">
        <f aca="false">IF(G7="","",G7+N(H7))</f>
        <v/>
      </c>
    </row>
    <row r="8" customFormat="false" ht="15" hidden="false" customHeight="false" outlineLevel="0" collapsed="false">
      <c r="I8" s="0" t="str">
        <f aca="false">IF(G8="","",G8+N(H8))</f>
        <v/>
      </c>
    </row>
    <row r="9" customFormat="false" ht="15" hidden="false" customHeight="false" outlineLevel="0" collapsed="false">
      <c r="I9" s="0" t="str">
        <f aca="false">IF(G9="","",G9+N(H9))</f>
        <v/>
      </c>
    </row>
    <row r="10" customFormat="false" ht="15" hidden="false" customHeight="false" outlineLevel="0" collapsed="false">
      <c r="I10" s="0" t="str">
        <f aca="false">IF(G10="","",G10+N(H10))</f>
        <v/>
      </c>
    </row>
    <row r="11" customFormat="false" ht="15" hidden="false" customHeight="false" outlineLevel="0" collapsed="false">
      <c r="I11" s="0" t="str">
        <f aca="false">IF(G11="","",G11+N(H11))</f>
        <v/>
      </c>
    </row>
    <row r="12" customFormat="false" ht="15" hidden="false" customHeight="false" outlineLevel="0" collapsed="false">
      <c r="I12" s="0" t="str">
        <f aca="false">IF(G12="","",G12+N(H12))</f>
        <v/>
      </c>
    </row>
    <row r="13" customFormat="false" ht="15" hidden="false" customHeight="false" outlineLevel="0" collapsed="false">
      <c r="I13" s="0" t="str">
        <f aca="false">IF(G13="","",G13+N(H13))</f>
        <v/>
      </c>
    </row>
    <row r="14" customFormat="false" ht="15" hidden="false" customHeight="false" outlineLevel="0" collapsed="false">
      <c r="I14" s="0" t="str">
        <f aca="false">IF(G14="","",G14+N(H14))</f>
        <v/>
      </c>
    </row>
    <row r="15" customFormat="false" ht="15" hidden="false" customHeight="false" outlineLevel="0" collapsed="false">
      <c r="I15" s="0" t="str">
        <f aca="false">IF(G15="","",G15+N(H15))</f>
        <v/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6"/>
    <col collapsed="false" customWidth="true" hidden="false" outlineLevel="0" max="6" min="6" style="0" width="50"/>
  </cols>
  <sheetData>
    <row r="1" customFormat="false" ht="94.5" hidden="false" customHeight="true" outlineLevel="0" collapsed="false">
      <c r="A1" s="1" t="s">
        <v>59</v>
      </c>
      <c r="B1" s="1"/>
      <c r="C1" s="1"/>
      <c r="D1" s="1"/>
      <c r="E1" s="1"/>
      <c r="F1" s="1"/>
    </row>
    <row r="3" customFormat="false" ht="28.35" hidden="false" customHeight="false" outlineLevel="0" collapsed="false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</row>
    <row r="4" customFormat="false" ht="15" hidden="false" customHeight="false" outlineLevel="0" collapsed="false">
      <c r="A4" s="0" t="s">
        <v>66</v>
      </c>
      <c r="B4" s="6" t="n">
        <v>375</v>
      </c>
      <c r="C4" s="6" t="n">
        <v>300</v>
      </c>
      <c r="D4" s="6" t="n">
        <v>320</v>
      </c>
      <c r="E4" s="6"/>
      <c r="F4" s="7" t="s">
        <v>67</v>
      </c>
    </row>
    <row r="5" customFormat="false" ht="15" hidden="false" customHeight="false" outlineLevel="0" collapsed="false">
      <c r="A5" s="0" t="s">
        <v>68</v>
      </c>
      <c r="B5" s="6" t="n">
        <v>0.2</v>
      </c>
      <c r="C5" s="6" t="n">
        <v>0.2</v>
      </c>
      <c r="D5" s="6" t="n">
        <v>0.0625</v>
      </c>
      <c r="E5" s="6"/>
      <c r="F5" s="7" t="s">
        <v>69</v>
      </c>
    </row>
    <row r="6" customFormat="false" ht="15" hidden="false" customHeight="false" outlineLevel="0" collapsed="false">
      <c r="A6" s="0" t="s">
        <v>70</v>
      </c>
      <c r="B6" s="0" t="n">
        <f aca="false">B4*(1-B5)</f>
        <v>300</v>
      </c>
      <c r="C6" s="0" t="n">
        <f aca="false">C4*(1-C5)</f>
        <v>240</v>
      </c>
      <c r="D6" s="0" t="n">
        <f aca="false">D4*(1-D5)</f>
        <v>300</v>
      </c>
      <c r="E6" s="0" t="n">
        <f aca="false">E4*(1-E5)</f>
        <v>0</v>
      </c>
      <c r="F6" s="0" t="s">
        <v>71</v>
      </c>
    </row>
    <row r="7" customFormat="false" ht="15" hidden="false" customHeight="false" outlineLevel="0" collapsed="false">
      <c r="A7" s="0" t="s">
        <v>72</v>
      </c>
      <c r="B7" s="6" t="n">
        <v>6000</v>
      </c>
      <c r="C7" s="6" t="n">
        <v>6200</v>
      </c>
      <c r="D7" s="6" t="n">
        <v>5400</v>
      </c>
      <c r="E7" s="6"/>
    </row>
    <row r="8" customFormat="false" ht="15" hidden="false" customHeight="false" outlineLevel="0" collapsed="false">
      <c r="A8" s="0" t="s">
        <v>73</v>
      </c>
      <c r="B8" s="6" t="n">
        <v>0.18</v>
      </c>
      <c r="C8" s="6" t="n">
        <v>0.02</v>
      </c>
      <c r="D8" s="6" t="n">
        <v>0</v>
      </c>
      <c r="E8" s="6"/>
    </row>
    <row r="9" customFormat="false" ht="15" hidden="false" customHeight="false" outlineLevel="0" collapsed="false">
      <c r="A9" s="0" t="s">
        <v>74</v>
      </c>
      <c r="B9" s="6" t="n">
        <v>0</v>
      </c>
      <c r="C9" s="6" t="n">
        <v>0</v>
      </c>
      <c r="D9" s="6" t="n">
        <v>100</v>
      </c>
      <c r="E9" s="6"/>
    </row>
    <row r="10" customFormat="false" ht="15" hidden="false" customHeight="false" outlineLevel="0" collapsed="false">
      <c r="A10" s="0" t="s">
        <v>75</v>
      </c>
      <c r="B10" s="6" t="n">
        <v>1800</v>
      </c>
      <c r="C10" s="6" t="n">
        <v>1800</v>
      </c>
      <c r="D10" s="6" t="n">
        <v>1800</v>
      </c>
      <c r="E10" s="6"/>
      <c r="F10" s="7" t="s">
        <v>76</v>
      </c>
    </row>
    <row r="11" customFormat="false" ht="15" hidden="false" customHeight="false" outlineLevel="0" collapsed="false">
      <c r="A11" s="0" t="s">
        <v>77</v>
      </c>
      <c r="B11" s="6" t="n">
        <v>0</v>
      </c>
      <c r="C11" s="6" t="n">
        <v>600</v>
      </c>
      <c r="D11" s="6" t="n">
        <v>0</v>
      </c>
      <c r="E11" s="6"/>
      <c r="F11" s="7" t="s">
        <v>78</v>
      </c>
    </row>
    <row r="12" customFormat="false" ht="15" hidden="false" customHeight="false" outlineLevel="0" collapsed="false">
      <c r="A12" s="0" t="s">
        <v>79</v>
      </c>
      <c r="B12" s="6" t="n">
        <v>30000</v>
      </c>
      <c r="C12" s="6" t="n">
        <v>90000</v>
      </c>
      <c r="D12" s="6" t="n">
        <v>40000</v>
      </c>
      <c r="E12" s="6"/>
    </row>
    <row r="13" customFormat="false" ht="15" hidden="false" customHeight="false" outlineLevel="0" collapsed="false">
      <c r="A13" s="0" t="s">
        <v>80</v>
      </c>
      <c r="B13" s="0" t="n">
        <f aca="false">B6*(B7*(1-B8)-B9-B10)-B4*B11-B12</f>
        <v>906000</v>
      </c>
      <c r="C13" s="0" t="n">
        <f aca="false">C6*(C7*(1-C8)-C9-C10)-C4*C11-C12</f>
        <v>756240</v>
      </c>
      <c r="D13" s="0" t="n">
        <f aca="false">D6*(D7*(1-D8)-D9-D10)-D4*D11-D12</f>
        <v>1010000</v>
      </c>
      <c r="E13" s="0" t="n">
        <f aca="false">E6*(E7*(1-E8)-E9-E10)-E4*E11-E12</f>
        <v>0</v>
      </c>
      <c r="F13" s="0" t="s">
        <v>71</v>
      </c>
    </row>
    <row r="14" customFormat="false" ht="15" hidden="false" customHeight="false" outlineLevel="0" collapsed="false">
      <c r="A14" s="0" t="s">
        <v>81</v>
      </c>
      <c r="B14" s="6" t="n">
        <v>120</v>
      </c>
      <c r="C14" s="6" t="n">
        <v>40</v>
      </c>
      <c r="D14" s="6" t="n">
        <v>180</v>
      </c>
      <c r="E14" s="6"/>
      <c r="F14" s="7" t="s">
        <v>82</v>
      </c>
    </row>
    <row r="15" customFormat="false" ht="15" hidden="false" customHeight="false" outlineLevel="0" collapsed="false">
      <c r="A15" s="0" t="s">
        <v>83</v>
      </c>
      <c r="B15" s="6" t="n">
        <v>400</v>
      </c>
      <c r="C15" s="6" t="n">
        <v>400</v>
      </c>
      <c r="D15" s="6" t="n">
        <v>400</v>
      </c>
      <c r="E15" s="6"/>
      <c r="F15" s="7" t="s">
        <v>84</v>
      </c>
    </row>
    <row r="16" customFormat="false" ht="15" hidden="false" customHeight="false" outlineLevel="0" collapsed="false">
      <c r="A16" s="0" t="s">
        <v>85</v>
      </c>
      <c r="B16" s="6" t="n">
        <v>370</v>
      </c>
      <c r="C16" s="6" t="n">
        <v>370</v>
      </c>
      <c r="D16" s="6" t="n">
        <v>370</v>
      </c>
      <c r="E16" s="6"/>
      <c r="F16" s="7" t="s">
        <v>86</v>
      </c>
    </row>
    <row r="17" customFormat="false" ht="15" hidden="false" customHeight="false" outlineLevel="0" collapsed="false">
      <c r="A17" s="0" t="s">
        <v>87</v>
      </c>
      <c r="B17" s="0" t="n">
        <f aca="false">MAX(0,MIN(B14,B16+B14-B15))</f>
        <v>90</v>
      </c>
      <c r="C17" s="0" t="n">
        <f aca="false">MAX(0,MIN(C14,C16+C14-C15))</f>
        <v>10</v>
      </c>
      <c r="D17" s="0" t="n">
        <f aca="false">MAX(0,MIN(D14,D16+D14-D15))</f>
        <v>150</v>
      </c>
      <c r="E17" s="0" t="n">
        <f aca="false">MAX(0,MIN(E14,E16+E14-E15))</f>
        <v>0</v>
      </c>
      <c r="F17" s="0" t="s">
        <v>71</v>
      </c>
    </row>
    <row r="18" customFormat="false" ht="15" hidden="false" customHeight="false" outlineLevel="0" collapsed="false">
      <c r="A18" s="0" t="s">
        <v>88</v>
      </c>
      <c r="B18" s="6" t="n">
        <v>5060</v>
      </c>
      <c r="C18" s="6" t="n">
        <v>5060</v>
      </c>
      <c r="D18" s="6" t="n">
        <v>5060</v>
      </c>
      <c r="E18" s="6"/>
      <c r="F18" s="7" t="s">
        <v>89</v>
      </c>
    </row>
    <row r="19" customFormat="false" ht="15" hidden="false" customHeight="false" outlineLevel="0" collapsed="false">
      <c r="A19" s="0" t="s">
        <v>90</v>
      </c>
      <c r="B19" s="0" t="n">
        <f aca="false">B13-B17*B18</f>
        <v>450600</v>
      </c>
      <c r="C19" s="0" t="n">
        <f aca="false">C13-C17*C18</f>
        <v>705640</v>
      </c>
      <c r="D19" s="0" t="n">
        <f aca="false">D13-D17*D18</f>
        <v>251000</v>
      </c>
      <c r="E19" s="0" t="n">
        <f aca="false">E13-E17*E18</f>
        <v>0</v>
      </c>
      <c r="F19" s="0" t="s">
        <v>71</v>
      </c>
    </row>
    <row r="21" customFormat="false" ht="15" hidden="false" customHeight="false" outlineLevel="0" collapsed="false">
      <c r="A21" s="0" t="s">
        <v>91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2" min="2" style="0" width="16"/>
  </cols>
  <sheetData>
    <row r="1" customFormat="false" ht="94.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55.2" hidden="false" customHeight="false" outlineLevel="0" collapsed="false">
      <c r="A3" s="2" t="s">
        <v>43</v>
      </c>
      <c r="B3" s="2" t="s">
        <v>93</v>
      </c>
      <c r="C3" s="2" t="s">
        <v>68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79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3" t="s">
        <v>61</v>
      </c>
      <c r="B4" s="3" t="n">
        <v>375</v>
      </c>
      <c r="C4" s="3" t="n">
        <v>0.2</v>
      </c>
      <c r="D4" s="3" t="n">
        <v>300</v>
      </c>
      <c r="E4" s="3" t="n">
        <v>6000</v>
      </c>
      <c r="F4" s="3" t="n">
        <v>0.18</v>
      </c>
      <c r="G4" s="3" t="n">
        <v>0</v>
      </c>
      <c r="H4" s="3" t="n">
        <v>1800</v>
      </c>
      <c r="I4" s="3" t="n">
        <v>0</v>
      </c>
      <c r="J4" s="3" t="n">
        <v>30000</v>
      </c>
      <c r="K4" s="3" t="n">
        <v>120</v>
      </c>
      <c r="L4" s="3" t="n">
        <v>180</v>
      </c>
    </row>
    <row r="5" customFormat="false" ht="15" hidden="false" customHeight="false" outlineLevel="0" collapsed="false">
      <c r="A5" s="3" t="s">
        <v>62</v>
      </c>
      <c r="B5" s="3" t="n">
        <v>300</v>
      </c>
      <c r="C5" s="3" t="n">
        <v>0.2</v>
      </c>
      <c r="D5" s="3" t="n">
        <v>240</v>
      </c>
      <c r="E5" s="3" t="n">
        <v>6200</v>
      </c>
      <c r="F5" s="3" t="n">
        <v>0.02</v>
      </c>
      <c r="G5" s="3" t="n">
        <v>0</v>
      </c>
      <c r="H5" s="3" t="n">
        <v>1800</v>
      </c>
      <c r="I5" s="3" t="n">
        <v>600</v>
      </c>
      <c r="J5" s="3" t="n">
        <v>90000</v>
      </c>
      <c r="K5" s="3" t="n">
        <v>40</v>
      </c>
      <c r="L5" s="3" t="n">
        <v>200</v>
      </c>
    </row>
    <row r="6" customFormat="false" ht="28.35" hidden="false" customHeight="false" outlineLevel="0" collapsed="false">
      <c r="A6" s="3" t="s">
        <v>63</v>
      </c>
      <c r="B6" s="3" t="n">
        <v>320</v>
      </c>
      <c r="C6" s="3" t="n">
        <v>0.0625</v>
      </c>
      <c r="D6" s="3" t="n">
        <v>300</v>
      </c>
      <c r="E6" s="3" t="n">
        <v>5400</v>
      </c>
      <c r="F6" s="3" t="n">
        <v>0</v>
      </c>
      <c r="G6" s="3" t="n">
        <v>100</v>
      </c>
      <c r="H6" s="3" t="n">
        <v>1800</v>
      </c>
      <c r="I6" s="3" t="n">
        <v>0</v>
      </c>
      <c r="J6" s="3" t="n">
        <v>40000</v>
      </c>
      <c r="K6" s="3" t="n">
        <v>180</v>
      </c>
      <c r="L6" s="3" t="n">
        <v>120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2026-10-17T07:25:06Z</dcterms:created>
  <dc:creator>openpyxl</dc:creator>
  <dc:description/>
  <dc:language>en-US</dc:language>
  <cp:lastModifiedBy/>
  <dcterms:modified xsi:type="dcterms:W3CDTF">2026-10-17T07:25:06Z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