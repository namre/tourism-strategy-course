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Т-1 Интервью" sheetId="1" state="visible" r:id="rId1"/>
    <sheet xmlns:r="http://schemas.openxmlformats.org/officeDocument/2006/relationships" name="КТ-1 Кодовая книга" sheetId="2" state="visible" r:id="rId2"/>
    <sheet xmlns:r="http://schemas.openxmlformats.org/officeDocument/2006/relationships" name="КТ-1 Тайный покупатель" sheetId="3" state="visible" r:id="rId3"/>
    <sheet xmlns:r="http://schemas.openxmlformats.org/officeDocument/2006/relationships" name="КТ-3 Цены по датам" sheetId="4" state="visible" r:id="rId4"/>
    <sheet xmlns:r="http://schemas.openxmlformats.org/officeDocument/2006/relationships" name="КТ-4 Модель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6ED8C"/>
      </patternFill>
    </fill>
    <fill>
      <patternFill patternType="solid">
        <fgColor rgb="00DCEB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30" customWidth="1" min="4" max="4"/>
    <col width="28" customWidth="1" min="5" max="5"/>
    <col width="28" customWidth="1" min="6" max="6"/>
    <col width="28" customWidth="1" min="7" max="7"/>
    <col width="34" customWidth="1" min="8" max="8"/>
    <col width="20" customWidth="1" min="9" max="9"/>
  </cols>
  <sheetData>
    <row r="1" ht="90" customHeight="1">
      <c r="A1" s="1" t="inlineStr">
        <is>
          <t>Сценарий интервью (15–25 минут, без имён): 1) Расскажите о последней поездке такого типа: куда, когда, с кем? 2) С чего начали выбор? Какие варианты рассматривали? 3) Что в итоге решило выбор? От чего отказались и почему? 4) Что было неудобно до поездки, во время и после? 5) Если бы выбирали снова, что сделали бы иначе? Не спрашивайте «понравится ли вам…» — просите рассказать о том, что уже было.</t>
        </is>
      </c>
    </row>
    <row r="3">
      <c r="A3" s="2" t="inlineStr">
        <is>
          <t>№</t>
        </is>
      </c>
      <c r="B3" s="2" t="inlineStr">
        <is>
          <t>Кто (роль, без имени)</t>
        </is>
      </c>
      <c r="C3" s="2" t="inlineStr">
        <is>
          <t>Дата</t>
        </is>
      </c>
      <c r="D3" s="2" t="inlineStr">
        <is>
          <t>Ситуация выбора</t>
        </is>
      </c>
      <c r="E3" s="2" t="inlineStr">
        <is>
          <t>Какие варианты сравнивал</t>
        </is>
      </c>
      <c r="F3" s="2" t="inlineStr">
        <is>
          <t>Что решило выбор</t>
        </is>
      </c>
      <c r="G3" s="2" t="inlineStr">
        <is>
          <t>Неудобства и барьеры</t>
        </is>
      </c>
      <c r="H3" s="2" t="inlineStr">
        <is>
          <t>Ключевая цитата</t>
        </is>
      </c>
      <c r="I3" s="2" t="inlineStr">
        <is>
          <t>Тема по кодовой книге</t>
        </is>
      </c>
    </row>
    <row r="4">
      <c r="A4" s="1" t="n">
        <v>1</v>
      </c>
      <c r="B4" s="1" t="inlineStr"/>
      <c r="C4" s="1" t="inlineStr"/>
      <c r="D4" s="1" t="inlineStr"/>
      <c r="E4" s="1" t="inlineStr"/>
      <c r="F4" s="1" t="inlineStr"/>
      <c r="G4" s="1" t="inlineStr"/>
      <c r="H4" s="1" t="inlineStr"/>
      <c r="I4" s="1" t="inlineStr"/>
    </row>
    <row r="5">
      <c r="A5" s="1" t="n">
        <v>2</v>
      </c>
      <c r="B5" s="1" t="inlineStr"/>
      <c r="C5" s="1" t="inlineStr"/>
      <c r="D5" s="1" t="inlineStr"/>
      <c r="E5" s="1" t="inlineStr"/>
      <c r="F5" s="1" t="inlineStr"/>
      <c r="G5" s="1" t="inlineStr"/>
      <c r="H5" s="1" t="inlineStr"/>
      <c r="I5" s="1" t="inlineStr"/>
    </row>
    <row r="6">
      <c r="A6" s="1" t="n">
        <v>3</v>
      </c>
      <c r="B6" s="1" t="inlineStr"/>
      <c r="C6" s="1" t="inlineStr"/>
      <c r="D6" s="1" t="inlineStr"/>
      <c r="E6" s="1" t="inlineStr"/>
      <c r="F6" s="1" t="inlineStr"/>
      <c r="G6" s="1" t="inlineStr"/>
      <c r="H6" s="1" t="inlineStr"/>
      <c r="I6" s="1" t="inlineStr"/>
    </row>
    <row r="7">
      <c r="A7" s="1" t="n">
        <v>4</v>
      </c>
      <c r="B7" s="1" t="inlineStr"/>
      <c r="C7" s="1" t="inlineStr"/>
      <c r="D7" s="1" t="inlineStr"/>
      <c r="E7" s="1" t="inlineStr"/>
      <c r="F7" s="1" t="inlineStr"/>
      <c r="G7" s="1" t="inlineStr"/>
      <c r="H7" s="1" t="inlineStr"/>
      <c r="I7" s="1" t="inlineStr"/>
    </row>
    <row r="8">
      <c r="A8" s="1" t="n">
        <v>5</v>
      </c>
      <c r="B8" s="1" t="inlineStr"/>
      <c r="C8" s="1" t="inlineStr"/>
      <c r="D8" s="1" t="inlineStr"/>
      <c r="E8" s="1" t="inlineStr"/>
      <c r="F8" s="1" t="inlineStr"/>
      <c r="G8" s="1" t="inlineStr"/>
      <c r="H8" s="1" t="inlineStr"/>
      <c r="I8" s="1" t="inlineStr"/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40" customWidth="1" min="3" max="3"/>
    <col width="16" customWidth="1" min="4" max="4"/>
    <col width="16" customWidth="1" min="5" max="5"/>
    <col width="16" customWidth="1" min="6" max="6"/>
  </cols>
  <sheetData>
    <row r="1" ht="90" customHeight="1">
      <c r="A1" s="1" t="inlineStr">
        <is>
          <t>Кодовая книга: 6–10 тем, у каждой правило отнесения и пример. Частоты считайте по каждому объекту. Ниже — проверка разметки: 20 случайных отзывов размечаете вы и второй человек (или ИИ); доля совпадений считается автоматически.</t>
        </is>
      </c>
    </row>
    <row r="3">
      <c r="A3" s="2" t="inlineStr">
        <is>
          <t>Тема</t>
        </is>
      </c>
      <c r="B3" s="2" t="inlineStr">
        <is>
          <t>Правило отнесения</t>
        </is>
      </c>
      <c r="C3" s="2" t="inlineStr">
        <is>
          <t>Пример фразы</t>
        </is>
      </c>
      <c r="D3" s="2" t="inlineStr">
        <is>
          <t>Ваш объект, шт.</t>
        </is>
      </c>
      <c r="E3" s="2" t="inlineStr">
        <is>
          <t>Конкурент 1, шт.</t>
        </is>
      </c>
      <c r="F3" s="2" t="inlineStr">
        <is>
          <t>Конкурент 2, шт.</t>
        </is>
      </c>
    </row>
    <row r="4">
      <c r="A4" s="1" t="inlineStr">
        <is>
          <t>Шум</t>
        </is>
      </c>
      <c r="B4" s="1" t="inlineStr">
        <is>
          <t>Любое упоминание звуков, мешавших отдыху или сну</t>
        </is>
      </c>
      <c r="C4" s="1" t="inlineStr">
        <is>
          <t>«Окна на дорогу, ночью грузовики»</t>
        </is>
      </c>
      <c r="D4" s="1" t="inlineStr"/>
      <c r="E4" s="1" t="inlineStr"/>
      <c r="F4" s="1" t="inlineStr"/>
    </row>
    <row r="5">
      <c r="A5" s="1" t="inlineStr">
        <is>
          <t>Завтрак</t>
        </is>
      </c>
      <c r="B5" s="1" t="inlineStr">
        <is>
          <t>Время, состав, качество завтрака</t>
        </is>
      </c>
      <c r="C5" s="1" t="inlineStr">
        <is>
          <t>«Завтрак с восьми — на встречу не успеваю»</t>
        </is>
      </c>
      <c r="D5" s="1" t="inlineStr"/>
      <c r="E5" s="1" t="inlineStr"/>
      <c r="F5" s="1" t="inlineStr"/>
    </row>
    <row r="6">
      <c r="A6" s="1" t="inlineStr">
        <is>
          <t>Заселение</t>
        </is>
      </c>
      <c r="B6" s="1" t="inlineStr">
        <is>
          <t>Ожидание, ранний заезд, поздний выезд, документы</t>
        </is>
      </c>
      <c r="C6" s="1" t="inlineStr">
        <is>
          <t>«Ждали ключи 40 минут»</t>
        </is>
      </c>
      <c r="D6" s="1" t="inlineStr"/>
      <c r="E6" s="1" t="inlineStr"/>
      <c r="F6" s="1" t="inlineStr"/>
    </row>
    <row r="7">
      <c r="A7" s="1" t="inlineStr">
        <is>
          <t>Чистота</t>
        </is>
      </c>
      <c r="B7" s="1" t="inlineStr">
        <is>
          <t>Уборка, бельё, санузел</t>
        </is>
      </c>
      <c r="C7" s="1" t="inlineStr"/>
      <c r="D7" s="1" t="inlineStr"/>
      <c r="E7" s="1" t="inlineStr"/>
      <c r="F7" s="1" t="inlineStr"/>
    </row>
    <row r="8">
      <c r="A8" s="1" t="inlineStr">
        <is>
          <t>Соответствие описанию</t>
        </is>
      </c>
      <c r="B8" s="1" t="inlineStr">
        <is>
          <t>Фото, услуги, расположение не совпали с обещанным</t>
        </is>
      </c>
      <c r="C8" s="1" t="inlineStr"/>
      <c r="D8" s="1" t="inlineStr"/>
      <c r="E8" s="1" t="inlineStr"/>
      <c r="F8" s="1" t="inlineStr"/>
    </row>
    <row r="9">
      <c r="A9" s="1" t="inlineStr">
        <is>
          <t>Персонал</t>
        </is>
      </c>
      <c r="B9" s="1" t="inlineStr">
        <is>
          <t>Вежливость, скорость решения проблем</t>
        </is>
      </c>
      <c r="C9" s="1" t="inlineStr"/>
      <c r="D9" s="1" t="inlineStr"/>
      <c r="E9" s="1" t="inlineStr"/>
      <c r="F9" s="1" t="inlineStr"/>
    </row>
    <row r="10">
      <c r="A10" s="1" t="inlineStr">
        <is>
          <t>Природа и впечатления</t>
        </is>
      </c>
      <c r="B10" s="1" t="inlineStr">
        <is>
          <t>Виды, маршруты, гиды, сезонные явления</t>
        </is>
      </c>
      <c r="C10" s="1" t="inlineStr">
        <is>
          <t>«Лотосы в августе — ради этого и ехали»</t>
        </is>
      </c>
      <c r="D10" s="1" t="inlineStr"/>
      <c r="E10" s="1" t="inlineStr"/>
      <c r="F10" s="1" t="inlineStr"/>
    </row>
    <row r="13">
      <c r="A13" s="3" t="inlineStr">
        <is>
          <t>Проверка разметки</t>
        </is>
      </c>
    </row>
    <row r="14">
      <c r="A14" s="4" t="inlineStr">
        <is>
          <t>№ отзыва</t>
        </is>
      </c>
      <c r="B14" s="4" t="inlineStr">
        <is>
          <t>Ваша тема</t>
        </is>
      </c>
      <c r="C14" s="4" t="inlineStr">
        <is>
          <t>Тема второго разметчика или ИИ</t>
        </is>
      </c>
      <c r="D14" s="4" t="inlineStr">
        <is>
          <t>Совпало (1/0)</t>
        </is>
      </c>
    </row>
    <row r="15">
      <c r="A15" t="n">
        <v>1</v>
      </c>
      <c r="D15">
        <f>IF(AND(B15&lt;&gt;"",C15&lt;&gt;""),IF(B15=C15,1,0),"")</f>
        <v/>
      </c>
    </row>
    <row r="16">
      <c r="A16" t="n">
        <v>2</v>
      </c>
      <c r="D16">
        <f>IF(AND(B16&lt;&gt;"",C16&lt;&gt;""),IF(B16=C16,1,0),"")</f>
        <v/>
      </c>
    </row>
    <row r="17">
      <c r="A17" t="n">
        <v>3</v>
      </c>
      <c r="D17">
        <f>IF(AND(B17&lt;&gt;"",C17&lt;&gt;""),IF(B17=C17,1,0),"")</f>
        <v/>
      </c>
    </row>
    <row r="18">
      <c r="A18" t="n">
        <v>4</v>
      </c>
      <c r="D18">
        <f>IF(AND(B18&lt;&gt;"",C18&lt;&gt;""),IF(B18=C18,1,0),"")</f>
        <v/>
      </c>
    </row>
    <row r="19">
      <c r="A19" t="n">
        <v>5</v>
      </c>
      <c r="D19">
        <f>IF(AND(B19&lt;&gt;"",C19&lt;&gt;""),IF(B19=C19,1,0),"")</f>
        <v/>
      </c>
    </row>
    <row r="20">
      <c r="A20" t="n">
        <v>6</v>
      </c>
      <c r="D20">
        <f>IF(AND(B20&lt;&gt;"",C20&lt;&gt;""),IF(B20=C20,1,0),"")</f>
        <v/>
      </c>
    </row>
    <row r="21">
      <c r="A21" t="n">
        <v>7</v>
      </c>
      <c r="D21">
        <f>IF(AND(B21&lt;&gt;"",C21&lt;&gt;""),IF(B21=C21,1,0),"")</f>
        <v/>
      </c>
    </row>
    <row r="22">
      <c r="A22" t="n">
        <v>8</v>
      </c>
      <c r="D22">
        <f>IF(AND(B22&lt;&gt;"",C22&lt;&gt;""),IF(B22=C22,1,0),"")</f>
        <v/>
      </c>
    </row>
    <row r="23">
      <c r="A23" t="n">
        <v>9</v>
      </c>
      <c r="D23">
        <f>IF(AND(B23&lt;&gt;"",C23&lt;&gt;""),IF(B23=C23,1,0),"")</f>
        <v/>
      </c>
    </row>
    <row r="24">
      <c r="A24" t="n">
        <v>10</v>
      </c>
      <c r="D24">
        <f>IF(AND(B24&lt;&gt;"",C24&lt;&gt;""),IF(B24=C24,1,0),"")</f>
        <v/>
      </c>
    </row>
    <row r="25">
      <c r="A25" t="n">
        <v>11</v>
      </c>
      <c r="D25">
        <f>IF(AND(B25&lt;&gt;"",C25&lt;&gt;""),IF(B25=C25,1,0),"")</f>
        <v/>
      </c>
    </row>
    <row r="26">
      <c r="A26" t="n">
        <v>12</v>
      </c>
      <c r="D26">
        <f>IF(AND(B26&lt;&gt;"",C26&lt;&gt;""),IF(B26=C26,1,0),"")</f>
        <v/>
      </c>
    </row>
    <row r="27">
      <c r="A27" t="n">
        <v>13</v>
      </c>
      <c r="D27">
        <f>IF(AND(B27&lt;&gt;"",C27&lt;&gt;""),IF(B27=C27,1,0),"")</f>
        <v/>
      </c>
    </row>
    <row r="28">
      <c r="A28" t="n">
        <v>14</v>
      </c>
      <c r="D28">
        <f>IF(AND(B28&lt;&gt;"",C28&lt;&gt;""),IF(B28=C28,1,0),"")</f>
        <v/>
      </c>
    </row>
    <row r="29">
      <c r="A29" t="n">
        <v>15</v>
      </c>
      <c r="D29">
        <f>IF(AND(B29&lt;&gt;"",C29&lt;&gt;""),IF(B29=C29,1,0),"")</f>
        <v/>
      </c>
    </row>
    <row r="30">
      <c r="A30" t="n">
        <v>16</v>
      </c>
      <c r="D30">
        <f>IF(AND(B30&lt;&gt;"",C30&lt;&gt;""),IF(B30=C30,1,0),"")</f>
        <v/>
      </c>
    </row>
    <row r="31">
      <c r="A31" t="n">
        <v>17</v>
      </c>
      <c r="D31">
        <f>IF(AND(B31&lt;&gt;"",C31&lt;&gt;""),IF(B31=C31,1,0),"")</f>
        <v/>
      </c>
    </row>
    <row r="32">
      <c r="A32" t="n">
        <v>18</v>
      </c>
      <c r="D32">
        <f>IF(AND(B32&lt;&gt;"",C32&lt;&gt;""),IF(B32=C32,1,0),"")</f>
        <v/>
      </c>
    </row>
    <row r="33">
      <c r="A33" t="n">
        <v>19</v>
      </c>
      <c r="D33">
        <f>IF(AND(B33&lt;&gt;"",C33&lt;&gt;""),IF(B33=C33,1,0),"")</f>
        <v/>
      </c>
    </row>
    <row r="34">
      <c r="A34" t="n">
        <v>20</v>
      </c>
      <c r="D34">
        <f>IF(AND(B34&lt;&gt;"",C34&lt;&gt;""),IF(B34=C34,1,0),"")</f>
        <v/>
      </c>
    </row>
    <row r="36">
      <c r="C36" s="3" t="inlineStr">
        <is>
          <t>Доля совпадений:</t>
        </is>
      </c>
      <c r="D36">
        <f>IFERROR(AVERAGE(D15:D34),"")</f>
        <v/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  <col width="26" customWidth="1" min="7" max="7"/>
    <col width="16" customWidth="1" min="8" max="8"/>
    <col width="14" customWidth="1" min="9" max="9"/>
    <col width="30" customWidth="1" min="10" max="10"/>
  </cols>
  <sheetData>
    <row r="1" ht="90" customHeight="1">
      <c r="A1" s="1" t="inlineStr">
        <is>
          <t>Сценарий запроса одинаков для всех объектов: даты заезда, состав гостей, вопрос «какая итоговая сумма к оплате и какие условия отмены?». По возможности используйте разные каналы (телефон, мессенджер, форма на сайте). Не бронируйте и не отменяйте реальные заказы.</t>
        </is>
      </c>
    </row>
    <row r="3">
      <c r="A3" s="2" t="inlineStr">
        <is>
          <t>Объект</t>
        </is>
      </c>
      <c r="B3" s="2" t="inlineStr">
        <is>
          <t>Канал</t>
        </is>
      </c>
      <c r="C3" s="2" t="inlineStr">
        <is>
          <t>Дата и время запроса</t>
        </is>
      </c>
      <c r="D3" s="2" t="inlineStr">
        <is>
          <t>Время ответа, мин</t>
        </is>
      </c>
      <c r="E3" s="2" t="inlineStr">
        <is>
          <t>Итоговая цена, ₽</t>
        </is>
      </c>
      <c r="F3" s="2" t="inlineStr">
        <is>
          <t>Обязательные платежи сверх тарифа</t>
        </is>
      </c>
      <c r="G3" s="2" t="inlineStr">
        <is>
          <t>Условия отмены</t>
        </is>
      </c>
      <c r="H3" s="2" t="inlineStr">
        <is>
          <t>Предложили альтернативу?</t>
        </is>
      </c>
      <c r="I3" s="2" t="inlineStr">
        <is>
          <t>Полнота ответа (0–2)</t>
        </is>
      </c>
      <c r="J3" s="2" t="inlineStr">
        <is>
          <t>Заметки</t>
        </is>
      </c>
    </row>
    <row r="4">
      <c r="A4" s="1" t="inlineStr"/>
      <c r="B4" s="1" t="inlineStr"/>
      <c r="C4" s="1" t="inlineStr"/>
      <c r="D4" s="1" t="inlineStr"/>
      <c r="E4" s="1" t="inlineStr"/>
      <c r="F4" s="1" t="inlineStr"/>
      <c r="G4" s="1" t="inlineStr"/>
      <c r="H4" s="1" t="inlineStr"/>
      <c r="I4" s="1" t="inlineStr"/>
      <c r="J4" s="1" t="inlineStr"/>
    </row>
    <row r="5">
      <c r="A5" s="1" t="inlineStr"/>
      <c r="B5" s="1" t="inlineStr"/>
      <c r="C5" s="1" t="inlineStr"/>
      <c r="D5" s="1" t="inlineStr"/>
      <c r="E5" s="1" t="inlineStr"/>
      <c r="F5" s="1" t="inlineStr"/>
      <c r="G5" s="1" t="inlineStr"/>
      <c r="H5" s="1" t="inlineStr"/>
      <c r="I5" s="1" t="inlineStr"/>
      <c r="J5" s="1" t="inlineStr"/>
    </row>
    <row r="6">
      <c r="A6" s="1" t="inlineStr"/>
      <c r="B6" s="1" t="inlineStr"/>
      <c r="C6" s="1" t="inlineStr"/>
      <c r="D6" s="1" t="inlineStr"/>
      <c r="E6" s="1" t="inlineStr"/>
      <c r="F6" s="1" t="inlineStr"/>
      <c r="G6" s="1" t="inlineStr"/>
      <c r="H6" s="1" t="inlineStr"/>
      <c r="I6" s="1" t="inlineStr"/>
      <c r="J6" s="1" t="inlineStr"/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4" customWidth="1" min="4" max="4"/>
    <col width="12" customWidth="1" min="5" max="5"/>
    <col width="18" customWidth="1" min="6" max="6"/>
    <col width="12" customWidth="1" min="7" max="7"/>
    <col width="16" customWidth="1" min="8" max="8"/>
    <col width="14" customWidth="1" min="9" max="9"/>
    <col width="30" customWidth="1" min="10" max="10"/>
  </cols>
  <sheetData>
    <row r="1" ht="90" customHeight="1">
      <c r="A1" s="1" t="inlineStr">
        <is>
          <t>Минимум: 3 объекта × 2 даты заезда (пик и межсезонье) × 2 канала (сайт объекта и площадка бронирования) = 12 замеров в один день съёма. Горизонты бронирования и больше объектов — по желанию. Итоговая цена считается автоматически.</t>
        </is>
      </c>
    </row>
    <row r="3">
      <c r="A3" s="2" t="inlineStr">
        <is>
          <t>Дата съёма</t>
        </is>
      </c>
      <c r="B3" s="2" t="inlineStr">
        <is>
          <t>Объект</t>
        </is>
      </c>
      <c r="C3" s="2" t="inlineStr">
        <is>
          <t>Дата заезда</t>
        </is>
      </c>
      <c r="D3" s="2" t="inlineStr">
        <is>
          <t>Тип даты</t>
        </is>
      </c>
      <c r="E3" s="2" t="inlineStr">
        <is>
          <t>Дней до заезда</t>
        </is>
      </c>
      <c r="F3" s="2" t="inlineStr">
        <is>
          <t>Канал</t>
        </is>
      </c>
      <c r="G3" s="2" t="inlineStr">
        <is>
          <t>Тариф, ₽</t>
        </is>
      </c>
      <c r="H3" s="2" t="inlineStr">
        <is>
          <t>Обязательные платежи, ₽</t>
        </is>
      </c>
      <c r="I3" s="2" t="inlineStr">
        <is>
          <t>Итоговая цена, ₽</t>
        </is>
      </c>
      <c r="J3" s="2" t="inlineStr">
        <is>
          <t>Условия отмены</t>
        </is>
      </c>
    </row>
    <row r="4">
      <c r="I4">
        <f>IF(G4="","",G4+N(H4))</f>
        <v/>
      </c>
    </row>
    <row r="5">
      <c r="I5">
        <f>IF(G5="","",G5+N(H5))</f>
        <v/>
      </c>
    </row>
    <row r="6">
      <c r="I6">
        <f>IF(G6="","",G6+N(H6))</f>
        <v/>
      </c>
    </row>
    <row r="7">
      <c r="I7">
        <f>IF(G7="","",G7+N(H7))</f>
        <v/>
      </c>
    </row>
    <row r="8">
      <c r="I8">
        <f>IF(G8="","",G8+N(H8))</f>
        <v/>
      </c>
    </row>
    <row r="9">
      <c r="I9">
        <f>IF(G9="","",G9+N(H9))</f>
        <v/>
      </c>
    </row>
    <row r="10">
      <c r="I10">
        <f>IF(G10="","",G10+N(H10))</f>
        <v/>
      </c>
    </row>
    <row r="11">
      <c r="I11">
        <f>IF(G11="","",G11+N(H11))</f>
        <v/>
      </c>
    </row>
    <row r="12">
      <c r="I12">
        <f>IF(G12="","",G12+N(H12))</f>
        <v/>
      </c>
    </row>
    <row r="13">
      <c r="I13">
        <f>IF(G13="","",G13+N(H13))</f>
        <v/>
      </c>
    </row>
    <row r="14">
      <c r="I14">
        <f>IF(G14="","",G14+N(H14))</f>
        <v/>
      </c>
    </row>
    <row r="15">
      <c r="I15">
        <f>IF(G15="","",G15+N(H15))</f>
        <v/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50" customWidth="1" min="6" max="6"/>
  </cols>
  <sheetData>
    <row r="1" ht="90" customHeight="1">
      <c r="A1" s="1" t="inlineStr">
        <is>
          <t>Модель альтернатив на примере «Маяка». Голубые ячейки — входные данные: замените их числами своего объекта в столбце «Ваш вариант». Если объект не гостиница: номеро-ночь → место в группе или вход на тропу в день; агрегатор → посредник с комиссией; вытеснение → заявки сверх допустимой нагрузки или вытесненные более выгодные группы.</t>
        </is>
      </c>
    </row>
    <row r="3">
      <c r="A3" s="2" t="inlineStr">
        <is>
          <t>Показатель</t>
        </is>
      </c>
      <c r="B3" s="2" t="inlineStr">
        <is>
          <t>Агрегатор</t>
        </is>
      </c>
      <c r="C3" s="2" t="inlineStr">
        <is>
          <t>Прямой</t>
        </is>
      </c>
      <c r="D3" s="2" t="inlineStr">
        <is>
          <t>Корпоративный</t>
        </is>
      </c>
      <c r="E3" s="2" t="inlineStr">
        <is>
          <t>Ваш вариант</t>
        </is>
      </c>
      <c r="F3" s="2" t="inlineStr">
        <is>
          <t>Пояснение</t>
        </is>
      </c>
    </row>
    <row r="4">
      <c r="A4" t="inlineStr">
        <is>
          <t>Забронировано, ед.</t>
        </is>
      </c>
      <c r="B4" s="5" t="n">
        <v>375</v>
      </c>
      <c r="C4" s="5" t="n">
        <v>300</v>
      </c>
      <c r="D4" s="5" t="n">
        <v>320</v>
      </c>
      <c r="E4" s="5" t="n"/>
      <c r="F4" t="inlineStr">
        <is>
          <t>Номеро-ночи до отмен</t>
        </is>
      </c>
    </row>
    <row r="5">
      <c r="A5" t="inlineStr">
        <is>
          <t>Доля отмен</t>
        </is>
      </c>
      <c r="B5" s="5" t="n">
        <v>0.2</v>
      </c>
      <c r="C5" s="5" t="n">
        <v>0.2</v>
      </c>
      <c r="D5" s="5" t="n">
        <v>0.0625</v>
      </c>
      <c r="E5" s="5" t="n"/>
      <c r="F5" t="inlineStr">
        <is>
          <t>Доля забронированных единиц</t>
        </is>
      </c>
    </row>
    <row r="6">
      <c r="A6" t="inlineStr">
        <is>
          <t>Состоялось, ед.</t>
        </is>
      </c>
      <c r="B6">
        <f>B4*(1-B5)</f>
        <v/>
      </c>
      <c r="C6">
        <f>C4*(1-C5)</f>
        <v/>
      </c>
      <c r="D6">
        <f>D4*(1-D5)</f>
        <v/>
      </c>
      <c r="E6">
        <f>E4*(1-E5)</f>
        <v/>
      </c>
      <c r="F6" t="inlineStr">
        <is>
          <t>Формула</t>
        </is>
      </c>
    </row>
    <row r="7">
      <c r="A7" t="inlineStr">
        <is>
          <t>Цена состоявшейся единицы, ₽</t>
        </is>
      </c>
      <c r="B7" s="5" t="n">
        <v>6000</v>
      </c>
      <c r="C7" s="5" t="n">
        <v>6200</v>
      </c>
      <c r="D7" s="5" t="n">
        <v>5400</v>
      </c>
      <c r="E7" s="5" t="n"/>
      <c r="F7" t="inlineStr"/>
    </row>
    <row r="8">
      <c r="A8" t="inlineStr">
        <is>
          <t>Комиссия или обработка, доля выручки</t>
        </is>
      </c>
      <c r="B8" s="5" t="n">
        <v>0.18</v>
      </c>
      <c r="C8" s="5" t="n">
        <v>0.02</v>
      </c>
      <c r="D8" s="5" t="n">
        <v>0</v>
      </c>
      <c r="E8" s="5" t="n"/>
      <c r="F8" t="inlineStr"/>
    </row>
    <row r="9">
      <c r="A9" t="inlineStr">
        <is>
          <t>Доп. обработка на состоявшуюся единицу, ₽</t>
        </is>
      </c>
      <c r="B9" s="5" t="n">
        <v>0</v>
      </c>
      <c r="C9" s="5" t="n">
        <v>0</v>
      </c>
      <c r="D9" s="5" t="n">
        <v>100</v>
      </c>
      <c r="E9" s="5" t="n"/>
      <c r="F9" t="inlineStr"/>
    </row>
    <row r="10">
      <c r="A10" t="inlineStr">
        <is>
          <t>Обслуживание состоявшейся единицы, ₽</t>
        </is>
      </c>
      <c r="B10" s="5" t="n">
        <v>1800</v>
      </c>
      <c r="C10" s="5" t="n">
        <v>1800</v>
      </c>
      <c r="D10" s="5" t="n">
        <v>1800</v>
      </c>
      <c r="E10" s="5" t="n"/>
      <c r="F10" t="inlineStr">
        <is>
          <t>Переменные затраты</t>
        </is>
      </c>
    </row>
    <row r="11">
      <c r="A11" t="inlineStr">
        <is>
          <t>Привлечение на забронированную единицу, ₽</t>
        </is>
      </c>
      <c r="B11" s="5" t="n">
        <v>0</v>
      </c>
      <c r="C11" s="5" t="n">
        <v>600</v>
      </c>
      <c r="D11" s="5" t="n">
        <v>0</v>
      </c>
      <c r="E11" s="5" t="n"/>
      <c r="F11" t="inlineStr">
        <is>
          <t>Не возвращается при отмене</t>
        </is>
      </c>
    </row>
    <row r="12">
      <c r="A12" t="inlineStr">
        <is>
          <t>Фиксированный расход пакета, ₽</t>
        </is>
      </c>
      <c r="B12" s="5" t="n">
        <v>30000</v>
      </c>
      <c r="C12" s="5" t="n">
        <v>90000</v>
      </c>
      <c r="D12" s="5" t="n">
        <v>40000</v>
      </c>
      <c r="E12" s="5" t="n"/>
      <c r="F12" t="inlineStr"/>
    </row>
    <row r="13">
      <c r="A13" t="inlineStr">
        <is>
          <t>Результат до вытеснения, ₽</t>
        </is>
      </c>
      <c r="B13">
        <f>B6*(B7*(1-B8)-B9-B10)-B4*B11-B12</f>
        <v/>
      </c>
      <c r="C13">
        <f>C6*(C7*(1-C8)-C9-C10)-C4*C11-C12</f>
        <v/>
      </c>
      <c r="D13">
        <f>D6*(D7*(1-D8)-D9-D10)-D4*D11-D12</f>
        <v/>
      </c>
      <c r="E13">
        <f>E6*(E7*(1-E8)-E9-E10)-E4*E11-E12</f>
        <v/>
      </c>
      <c r="F13" t="inlineStr">
        <is>
          <t>Формула</t>
        </is>
      </c>
    </row>
    <row r="14">
      <c r="A14" t="inlineStr">
        <is>
          <t>Единиц пакета в пик</t>
        </is>
      </c>
      <c r="B14" s="5" t="n">
        <v>120</v>
      </c>
      <c r="C14" s="5" t="n">
        <v>40</v>
      </c>
      <c r="D14" s="5" t="n">
        <v>180</v>
      </c>
      <c r="E14" s="5" t="n"/>
      <c r="F14" t="inlineStr">
        <is>
          <t>Распределение состоявшихся по периодам</t>
        </is>
      </c>
    </row>
    <row r="15">
      <c r="A15" t="inlineStr">
        <is>
          <t>Мощность пика</t>
        </is>
      </c>
      <c r="B15" s="5" t="n">
        <v>400</v>
      </c>
      <c r="C15" s="5" t="n">
        <v>400</v>
      </c>
      <c r="D15" s="5" t="n">
        <v>400</v>
      </c>
      <c r="E15" s="5" t="n"/>
      <c r="F15" t="inlineStr">
        <is>
          <t>10 дней × 40 номеров</t>
        </is>
      </c>
    </row>
    <row r="16">
      <c r="A16" t="inlineStr">
        <is>
          <t>Базовый спрос пика</t>
        </is>
      </c>
      <c r="B16" s="5" t="n">
        <v>370</v>
      </c>
      <c r="C16" s="5" t="n">
        <v>370</v>
      </c>
      <c r="D16" s="5" t="n">
        <v>370</v>
      </c>
      <c r="E16" s="5" t="n"/>
      <c r="F16" t="inlineStr">
        <is>
          <t>Подтверждённый + ожидаемый</t>
        </is>
      </c>
    </row>
    <row r="17">
      <c r="A17" t="inlineStr">
        <is>
          <t>Вытеснено в пик, ед.</t>
        </is>
      </c>
      <c r="B17">
        <f>MAX(0,MIN(B14,B16+B14-B15))</f>
        <v/>
      </c>
      <c r="C17">
        <f>MAX(0,MIN(C14,C16+C14-C15))</f>
        <v/>
      </c>
      <c r="D17">
        <f>MAX(0,MIN(D14,D16+D14-D15))</f>
        <v/>
      </c>
      <c r="E17">
        <f>MAX(0,MIN(E14,E16+E14-E15))</f>
        <v/>
      </c>
      <c r="F17" t="inlineStr">
        <is>
          <t>Формула</t>
        </is>
      </c>
    </row>
    <row r="18">
      <c r="A18" t="inlineStr">
        <is>
          <t>Маржинальный доход вытесненной единицы, ₽</t>
        </is>
      </c>
      <c r="B18" s="5" t="n">
        <v>5060</v>
      </c>
      <c r="C18" s="5" t="n">
        <v>5060</v>
      </c>
      <c r="D18" s="5" t="n">
        <v>5060</v>
      </c>
      <c r="E18" s="5" t="n"/>
      <c r="F18" t="inlineStr">
        <is>
          <t>7 000 × 0,98 − 1 800</t>
        </is>
      </c>
    </row>
    <row r="19">
      <c r="A19" t="inlineStr">
        <is>
          <t>Результат после вытеснения, ₽</t>
        </is>
      </c>
      <c r="B19">
        <f>B13-B17*B18</f>
        <v/>
      </c>
      <c r="C19">
        <f>C13-C17*C18</f>
        <v/>
      </c>
      <c r="D19">
        <f>D13-D17*D18</f>
        <v/>
      </c>
      <c r="E19">
        <f>E13-E17*E18</f>
        <v/>
      </c>
      <c r="F19" t="inlineStr">
        <is>
          <t>Формула</t>
        </is>
      </c>
    </row>
    <row r="21">
      <c r="A21" t="inlineStr">
        <is>
          <t>Порог: при каком маржинальном доходе вытесненной единицы меняется выбор? Меняйте ячейки строки 18 и смотрите строку 19.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2026-10-17T06:02:05Z</dcterms:created>
  <dcterms:modified xmlns:dcterms="http://purl.org/dc/terms/" xmlns:xsi="http://www.w3.org/2001/XMLSchema-instance" xsi:type="dcterms:W3CDTF">2026-10-17T06:02:05Z</dcterms:modified>
</cp:coreProperties>
</file>